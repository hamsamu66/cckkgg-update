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han\AUTOMATION\AutoCKG\Templates\"/>
    </mc:Choice>
  </mc:AlternateContent>
  <xr:revisionPtr revIDLastSave="0" documentId="13_ncr:1_{B1A496AE-DBB2-4B2C-858D-DFFD9008899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 Log" sheetId="1" r:id="rId1"/>
  </sheets>
  <calcPr calcId="191029"/>
</workbook>
</file>

<file path=xl/calcChain.xml><?xml version="1.0" encoding="utf-8"?>
<calcChain xmlns="http://schemas.openxmlformats.org/spreadsheetml/2006/main">
  <c r="C2" i="1" l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Lihan</author>
  </authors>
  <commentList>
    <comment ref="B1" authorId="0" shapeId="0" xr:uid="{1CFFBA18-6626-478A-A59D-B35B1C00FCAA}">
      <text>
        <r>
          <rPr>
            <b/>
            <sz val="11"/>
            <color indexed="81"/>
            <rFont val="Tahoma"/>
            <family val="2"/>
          </rPr>
          <t xml:space="preserve">Jangan ada simbol titik atau koma atau petik
</t>
        </r>
      </text>
    </comment>
    <comment ref="C1" authorId="0" shapeId="0" xr:uid="{17D538AF-4C4E-4C7D-ACF8-FB1ABDFDFA33}">
      <text>
        <r>
          <rPr>
            <b/>
            <sz val="11"/>
            <color indexed="81"/>
            <rFont val="Tahoma"/>
            <family val="2"/>
          </rPr>
          <t>ini sudah berisi rumus pencarian tgl lahir dari NIK, kalo tidak yakin dengan ini, pastikan formatnya mm-dd-yyyy</t>
        </r>
      </text>
    </comment>
    <comment ref="D1" authorId="0" shapeId="0" xr:uid="{2B7F08CA-29E4-4C9E-B968-0CD5C5A5A8C4}">
      <text>
        <r>
          <rPr>
            <b/>
            <sz val="11"/>
            <color indexed="81"/>
            <rFont val="Tahoma"/>
            <family val="2"/>
          </rPr>
          <t>ini sudah automatis, jika kurang yakin, yakinlah wkwkwkw</t>
        </r>
      </text>
    </comment>
    <comment ref="E1" authorId="0" shapeId="0" xr:uid="{4D4DD7E4-D7D7-4DA6-9EC3-E0CA1F38AA23}">
      <text>
        <r>
          <rPr>
            <b/>
            <sz val="11"/>
            <color indexed="81"/>
            <rFont val="Tahoma"/>
            <family val="2"/>
          </rPr>
          <t>jangan ada +62 atau 0, misal 0895555 &gt;&gt; hapus 0 nya</t>
        </r>
      </text>
    </comment>
    <comment ref="F1" authorId="0" shapeId="0" xr:uid="{99A7A7F9-4652-4179-9E34-71A895792CEA}">
      <text>
        <r>
          <rPr>
            <b/>
            <sz val="11"/>
            <color indexed="81"/>
            <rFont val="Tahoma"/>
            <family val="2"/>
          </rPr>
          <t>BELUM MENIKAH
MENIKAH
CERAI HIDUP
CERAI MATI</t>
        </r>
      </text>
    </comment>
    <comment ref="H1" authorId="0" shapeId="0" xr:uid="{DF7E7A33-5DC6-4A1F-89B1-93014DC42958}">
      <text>
        <r>
          <rPr>
            <b/>
            <sz val="11"/>
            <color indexed="81"/>
            <rFont val="Tahoma"/>
            <family val="2"/>
          </rPr>
          <t>TIDAK MEMILIKI DISABILITAS atau NON DISABILITAS</t>
        </r>
      </text>
    </comment>
    <comment ref="J1" authorId="0" shapeId="0" xr:uid="{6A84141E-7855-40B9-A7ED-F4BD0A68DAB2}">
      <text>
        <r>
          <rPr>
            <b/>
            <sz val="11"/>
            <color indexed="81"/>
            <rFont val="Tahoma"/>
            <family val="2"/>
          </rPr>
          <t>IYA atau TIDAK</t>
        </r>
      </text>
    </comment>
    <comment ref="Q1" authorId="0" shapeId="0" xr:uid="{21972537-0A90-40E5-8B3E-8E92272FA98D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R1" authorId="0" shapeId="0" xr:uid="{11623C59-42F7-4F81-A463-223B6E7A3060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S1" authorId="0" shapeId="0" xr:uid="{14369DFC-FE53-43F4-9D7B-1BBB8E07FAC0}">
      <text>
        <r>
          <rPr>
            <b/>
            <sz val="11"/>
            <color indexed="81"/>
            <rFont val="Tahoma"/>
            <family val="2"/>
          </rPr>
          <t>NORMAL atau ANGKA YANG NYATA</t>
        </r>
      </text>
    </comment>
    <comment ref="T1" authorId="0" shapeId="0" xr:uid="{508C4B91-0AFD-44BD-9FBD-FACF8FA761B3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U1" authorId="0" shapeId="0" xr:uid="{C13FCA42-FA3F-4A7A-BC9A-043D98805E7F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V1" authorId="0" shapeId="0" xr:uid="{FFAD6C85-AA1C-4778-8884-EF0E20A9EF58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W1" authorId="0" shapeId="0" xr:uid="{2D856BCC-1812-4A36-AA33-9023D1A6FA67}">
      <text>
        <r>
          <rPr>
            <b/>
            <sz val="11"/>
            <color indexed="81"/>
            <rFont val="Tahoma"/>
            <family val="2"/>
          </rPr>
          <t>TIDAK atau IYA</t>
        </r>
      </text>
    </comment>
    <comment ref="X1" authorId="0" shapeId="0" xr:uid="{5F030FC4-6D06-4A22-9494-F07D8D29F53A}">
      <text>
        <r>
          <rPr>
            <b/>
            <sz val="11"/>
            <color indexed="81"/>
            <rFont val="Tahoma"/>
            <family val="2"/>
          </rPr>
          <t>TIDAK</t>
        </r>
      </text>
    </comment>
    <comment ref="Y1" authorId="0" shapeId="0" xr:uid="{68E6974F-2AA1-4456-96A6-56D43475DD6E}">
      <text>
        <r>
          <rPr>
            <b/>
            <sz val="11"/>
            <color indexed="81"/>
            <rFont val="Tahoma"/>
            <family val="2"/>
          </rPr>
          <t>NORMAL</t>
        </r>
      </text>
    </comment>
    <comment ref="Z1" authorId="0" shapeId="0" xr:uid="{86E686B6-50BA-4164-9CBF-7EAAFF184E1F}">
      <text>
        <r>
          <rPr>
            <b/>
            <sz val="11"/>
            <color indexed="81"/>
            <rFont val="Tahoma"/>
            <family val="2"/>
          </rPr>
          <t>IYA atau TIDAK</t>
        </r>
      </text>
    </comment>
    <comment ref="AA1" authorId="0" shapeId="0" xr:uid="{CC13128A-54A7-4EFA-8F47-9C1B3024138A}">
      <text>
        <r>
          <rPr>
            <b/>
            <sz val="11"/>
            <color indexed="81"/>
            <rFont val="Tahoma"/>
            <family val="2"/>
          </rPr>
          <t>BAIK atau KURANG BAIK</t>
        </r>
      </text>
    </comment>
    <comment ref="AB1" authorId="0" shapeId="0" xr:uid="{601C988E-A81B-4316-9717-034980C40546}">
      <text>
        <r>
          <rPr>
            <b/>
            <sz val="11"/>
            <color indexed="81"/>
            <rFont val="Tahoma"/>
            <family val="2"/>
          </rPr>
          <t>NORMAL</t>
        </r>
      </text>
    </comment>
    <comment ref="AC1" authorId="0" shapeId="0" xr:uid="{8C7F6F17-4694-4DFA-A83C-77B3F0D08B1A}">
      <text>
        <r>
          <rPr>
            <b/>
            <sz val="11"/>
            <color indexed="81"/>
            <rFont val="Tahoma"/>
            <family val="2"/>
          </rPr>
          <t>IYA atau TIDAK</t>
        </r>
      </text>
    </comment>
    <comment ref="AD1" authorId="0" shapeId="0" xr:uid="{BDDBAE14-AB7E-48B2-AE84-5BC05E745863}">
      <text>
        <r>
          <rPr>
            <b/>
            <sz val="11"/>
            <color indexed="81"/>
            <rFont val="Tahoma"/>
            <family val="2"/>
          </rPr>
          <t>BAIK atau SANGAT BAIK</t>
        </r>
      </text>
    </comment>
    <comment ref="AE1" authorId="0" shapeId="0" xr:uid="{AEFD6890-D3E8-4BB6-B92A-D4D095716A60}">
      <text>
        <r>
          <rPr>
            <b/>
            <sz val="11"/>
            <color indexed="81"/>
            <rFont val="Tahoma"/>
            <family val="2"/>
          </rPr>
          <t>kosongi aja, nanti otomatis ke isi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<sst xmlns="http://schemas.openxmlformats.org/spreadsheetml/2006/main" count="61" uniqueCount="55">
  <si>
    <t>NIK</t>
  </si>
  <si>
    <t>Nama Lengkap</t>
  </si>
  <si>
    <t>Tanggal lahir</t>
  </si>
  <si>
    <t>Jenis Kelamin</t>
  </si>
  <si>
    <t>No Whatsapp</t>
  </si>
  <si>
    <t>Detail Domisili</t>
  </si>
  <si>
    <t>Berat Badan</t>
  </si>
  <si>
    <t>Tinggi Badan</t>
  </si>
  <si>
    <t>Sistol</t>
  </si>
  <si>
    <t>Diastol</t>
  </si>
  <si>
    <t>Gula Darah</t>
  </si>
  <si>
    <t>Keterangan</t>
  </si>
  <si>
    <t>Tidak memiliki disabilitas</t>
  </si>
  <si>
    <t>Normal</t>
  </si>
  <si>
    <t>normal</t>
  </si>
  <si>
    <t>jumlahCoba</t>
  </si>
  <si>
    <t>Status</t>
  </si>
  <si>
    <t>notif</t>
  </si>
  <si>
    <t>Provinsi</t>
  </si>
  <si>
    <t>Kota</t>
  </si>
  <si>
    <t>Kecamatan</t>
  </si>
  <si>
    <t>Kelurahan</t>
  </si>
  <si>
    <t>Lainnya</t>
  </si>
  <si>
    <t>Hamil</t>
  </si>
  <si>
    <t>Status Pernikahan</t>
  </si>
  <si>
    <t>Penyandang Disabilitas</t>
  </si>
  <si>
    <t>Pekerjaan</t>
  </si>
  <si>
    <t>Lingkar Perut</t>
  </si>
  <si>
    <t>Faktor Risiko Kanker Usus</t>
  </si>
  <si>
    <t>TIDAK</t>
  </si>
  <si>
    <t>Faktor Risiko TB - Dewasa &amp; Lansia</t>
  </si>
  <si>
    <t>Hati</t>
  </si>
  <si>
    <t>Kanker Leher Rahim</t>
  </si>
  <si>
    <t>Kesehatan Jiwa</t>
  </si>
  <si>
    <t>BAIK</t>
  </si>
  <si>
    <t>Penapisan Risiko Kanker Paru</t>
  </si>
  <si>
    <t>NORMAL</t>
  </si>
  <si>
    <t>Perilaku Merokok</t>
  </si>
  <si>
    <t>Tingkat Aktivitas Fisik (sedang dan berat)</t>
  </si>
  <si>
    <t>Disabilitas</t>
  </si>
  <si>
    <t>Non disabilitas</t>
  </si>
  <si>
    <t>tidak</t>
  </si>
  <si>
    <t>Jawa Timur</t>
  </si>
  <si>
    <t>Kota Malang</t>
  </si>
  <si>
    <t>Kedungkandang</t>
  </si>
  <si>
    <t>Buring</t>
  </si>
  <si>
    <t>KH MALIK DALAM 1 RT 1 RW 3 BURING</t>
  </si>
  <si>
    <t>60 kg</t>
  </si>
  <si>
    <t>165 cm</t>
  </si>
  <si>
    <t>80 cm</t>
  </si>
  <si>
    <t>TT Catin</t>
  </si>
  <si>
    <t>tidak tahu</t>
  </si>
  <si>
    <t>6565656565656565</t>
  </si>
  <si>
    <t>INI ADALAH CONTOH</t>
  </si>
  <si>
    <t>HAPUS DAN SESUAIKAN DGN DATA YANG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</si>
</sst>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0" fillId="0" borderId="0" xfId="0" applyNumberFormat="1"/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wrapText="1"/>
    </xf>
    <xf numFmtId="49" fontId="0" fillId="2" borderId="0" xfId="0" applyNumberFormat="1" applyFill="1"/>
    <xf numFmtId="49" fontId="0" fillId="2" borderId="0" xfId="0" applyNumberFormat="1" applyFill="1" applyAlignment="1">
      <alignment wrapText="1"/>
    </xf>
    <xf numFmtId="49" fontId="2" fillId="2" borderId="0" xfId="0" applyNumberFormat="1" applyFont="1" applyFill="1" applyAlignment="1">
      <alignment vertical="center"/>
    </xf>
  </cellXfs>
  <cellStyles count="2">
    <cellStyle name="Normal" xfId="0" builtinId="0"/>
    <cellStyle name="Normal 2" xfId="1" xr:uid="{9DA19D90-B6DB-4AE4-9227-D8C079777F3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zoomScale="85" zoomScaleNormal="85" workbookViewId="0">
      <selection activeCell="E3" sqref="E3"/>
    </sheetView>
  </sheetViews>
  <sheetFormatPr defaultRowHeight="15.75" x14ac:dyDescent="0.25"/>
  <cols>
    <col min="1" max="1" width="17.125" style="1" bestFit="1" customWidth="1"/>
    <col min="2" max="2" width="23.375" style="3" bestFit="1" customWidth="1"/>
    <col min="3" max="3" width="11.5" style="1" bestFit="1" customWidth="1"/>
    <col min="4" max="4" width="11.875" style="1" bestFit="1" customWidth="1"/>
    <col min="5" max="5" width="13" style="1" bestFit="1" customWidth="1"/>
    <col min="6" max="6" width="15.5" style="1" bestFit="1" customWidth="1"/>
    <col min="7" max="7" width="15.5" style="1" customWidth="1"/>
    <col min="8" max="8" width="21.875" style="1" bestFit="1" customWidth="1"/>
    <col min="9" max="9" width="21.875" style="1" customWidth="1"/>
    <col min="10" max="10" width="5.625" style="1" bestFit="1" customWidth="1"/>
    <col min="11" max="11" width="8.875" style="1" bestFit="1" customWidth="1"/>
    <col min="12" max="12" width="80.625" style="1" bestFit="1" customWidth="1"/>
    <col min="13" max="14" width="15.875" style="1" customWidth="1"/>
    <col min="15" max="15" width="11.875" style="1" customWidth="1"/>
    <col min="16" max="16" width="15.875" style="1" customWidth="1"/>
    <col min="17" max="17" width="10.875" style="1" bestFit="1" customWidth="1"/>
    <col min="18" max="18" width="11.5" style="1" bestFit="1" customWidth="1"/>
    <col min="19" max="19" width="11.5" style="1" customWidth="1"/>
    <col min="20" max="20" width="6.5" style="1" bestFit="1" customWidth="1"/>
    <col min="21" max="21" width="6.625" style="1" bestFit="1" customWidth="1"/>
    <col min="22" max="22" width="10" style="1" bestFit="1" customWidth="1"/>
    <col min="23" max="23" width="26.375" style="1" bestFit="1" customWidth="1"/>
    <col min="24" max="24" width="35.625" style="1" bestFit="1" customWidth="1"/>
    <col min="25" max="25" width="14.75" style="1" bestFit="1" customWidth="1"/>
    <col min="26" max="26" width="19.125" style="1" bestFit="1" customWidth="1"/>
    <col min="27" max="27" width="15" style="1" bestFit="1" customWidth="1"/>
    <col min="28" max="28" width="32.25" style="1" bestFit="1" customWidth="1"/>
    <col min="29" max="29" width="29.625" style="1" bestFit="1" customWidth="1"/>
    <col min="30" max="30" width="43.875" style="1" bestFit="1" customWidth="1"/>
    <col min="31" max="31" width="20.625" style="1" bestFit="1" customWidth="1"/>
    <col min="32" max="16384" width="9" style="1"/>
  </cols>
  <sheetData>
    <row r="1" spans="1:34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50</v>
      </c>
      <c r="H1" s="1" t="s">
        <v>25</v>
      </c>
      <c r="I1" s="1" t="s">
        <v>39</v>
      </c>
      <c r="J1" s="1" t="s">
        <v>23</v>
      </c>
      <c r="K1" s="1" t="s">
        <v>26</v>
      </c>
      <c r="L1" s="1" t="s">
        <v>5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6</v>
      </c>
      <c r="R1" s="1" t="s">
        <v>7</v>
      </c>
      <c r="S1" s="1" t="s">
        <v>27</v>
      </c>
      <c r="T1" s="1" t="s">
        <v>8</v>
      </c>
      <c r="U1" s="1" t="s">
        <v>9</v>
      </c>
      <c r="V1" s="1" t="s">
        <v>10</v>
      </c>
      <c r="W1" s="2" t="s">
        <v>28</v>
      </c>
      <c r="X1" s="2" t="s">
        <v>30</v>
      </c>
      <c r="Y1" s="1" t="s">
        <v>31</v>
      </c>
      <c r="Z1" s="2" t="s">
        <v>32</v>
      </c>
      <c r="AA1" s="2" t="s">
        <v>33</v>
      </c>
      <c r="AB1" s="2" t="s">
        <v>35</v>
      </c>
      <c r="AC1" s="2" t="s">
        <v>37</v>
      </c>
      <c r="AD1" s="2" t="s">
        <v>38</v>
      </c>
      <c r="AE1" s="1" t="s">
        <v>11</v>
      </c>
      <c r="AF1" s="1" t="s">
        <v>15</v>
      </c>
      <c r="AG1" s="1" t="s">
        <v>16</v>
      </c>
      <c r="AH1" s="1" t="s">
        <v>17</v>
      </c>
    </row>
    <row r="2" spans="1:34" s="4" customFormat="1" x14ac:dyDescent="0.25">
      <c r="A2" s="4" t="s">
        <v>52</v>
      </c>
      <c r="B2" s="5" t="s">
        <v>53</v>
      </c>
      <c r="C2" s="4" t="str">
        <f t="shared" ref="C2" ca="1" si="0">TEXT(DATE(IF(VALUE(MID(A2,11,2))&lt;=VALUE(RIGHT(YEAR(TODAY()), 2)), 2000+VALUE(MID(A2,11,2)), 1900+VALUE(MID(A2,11,2))), VALUE(MID(A2,9,2)), IF(VALUE(MID(A2,7,2))&gt;40, VALUE(MID(A2,7,2))-40, VALUE(MID(A2,7,2)))), "dd-mm-yyyy")</f>
        <v>25-05-1970</v>
      </c>
      <c r="D2" s="6" t="str">
        <f t="shared" ref="D2" si="1">IF(A2&lt;&gt;"",IF(VALUE(MID(A2,7,2))&gt;40,"Perempuan","Laki-laki"),"")</f>
        <v>Perempuan</v>
      </c>
      <c r="E2" s="4">
        <v>85230186668</v>
      </c>
      <c r="G2" s="4" t="s">
        <v>51</v>
      </c>
      <c r="H2" s="4" t="s">
        <v>12</v>
      </c>
      <c r="I2" s="4" t="s">
        <v>40</v>
      </c>
      <c r="J2" s="4" t="s">
        <v>41</v>
      </c>
      <c r="K2" s="4" t="s">
        <v>22</v>
      </c>
      <c r="L2" s="4" t="s">
        <v>46</v>
      </c>
      <c r="M2" s="4" t="s">
        <v>42</v>
      </c>
      <c r="N2" s="4" t="s">
        <v>43</v>
      </c>
      <c r="O2" s="4" t="s">
        <v>44</v>
      </c>
      <c r="P2" s="4" t="s">
        <v>45</v>
      </c>
      <c r="Q2" s="4" t="s">
        <v>47</v>
      </c>
      <c r="R2" s="4" t="s">
        <v>48</v>
      </c>
      <c r="S2" s="4" t="s">
        <v>49</v>
      </c>
      <c r="T2" s="4" t="s">
        <v>14</v>
      </c>
      <c r="U2" s="4" t="s">
        <v>14</v>
      </c>
      <c r="V2" s="4" t="s">
        <v>14</v>
      </c>
      <c r="W2" s="4" t="s">
        <v>29</v>
      </c>
      <c r="X2" s="4" t="s">
        <v>29</v>
      </c>
      <c r="Y2" s="4" t="s">
        <v>13</v>
      </c>
      <c r="Z2" s="4" t="s">
        <v>41</v>
      </c>
      <c r="AA2" s="4" t="s">
        <v>34</v>
      </c>
      <c r="AB2" s="4" t="s">
        <v>36</v>
      </c>
      <c r="AC2" s="4" t="s">
        <v>29</v>
      </c>
      <c r="AD2" s="4" t="s">
        <v>34</v>
      </c>
    </row>
    <row r="3" spans="1:34" s="4" customFormat="1" ht="31.5" x14ac:dyDescent="0.25">
      <c r="B3" s="5" t="s">
        <v>54</v>
      </c>
    </row>
  </sheetData>
  <phoneticPr fontId="6" type="noConversion"/>
  <pageMargins left="0.7" right="0.7" top="0.75" bottom="0.75" header="0.3" footer="0.3"/>
  <pageSetup paperSize="256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</dc:creator>
  <cp:lastModifiedBy>mas lihan</cp:lastModifiedBy>
  <dcterms:created xsi:type="dcterms:W3CDTF">2026-07-18T12:55:31Z</dcterms:created>
  <dcterms:modified xsi:type="dcterms:W3CDTF">2026-08-21T17:46:03Z</dcterms:modified>
</cp:coreProperties>
</file>