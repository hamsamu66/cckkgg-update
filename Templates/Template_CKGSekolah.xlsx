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han\AUTOMATION\AutoCKG\Templates\"/>
    </mc:Choice>
  </mc:AlternateContent>
  <xr:revisionPtr revIDLastSave="0" documentId="13_ncr:1_{A8E719AD-1D93-4CBE-BA47-BFF1A49D916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a Log" sheetId="1" r:id="rId1"/>
  </sheets>
  <calcPr calcId="191029"/>
</workbook>
</file>

<file path=xl/calcChain.xml><?xml version="1.0" encoding="utf-8"?>
<calcChain xmlns="http://schemas.openxmlformats.org/spreadsheetml/2006/main">
  <c r="C3" i="1" l="1"/>
  <c r="C2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Lihan</author>
  </authors>
  <commentList>
    <comment ref="B1" authorId="0" shapeId="0" xr:uid="{6419F8AD-4631-4F72-9310-8B12CFE6497B}">
      <text>
        <r>
          <rPr>
            <b/>
            <sz val="11"/>
            <color indexed="81"/>
            <rFont val="Tahoma"/>
            <family val="2"/>
          </rPr>
          <t xml:space="preserve">Jangan ada simbol titik atau koma atau petik
</t>
        </r>
      </text>
    </comment>
    <comment ref="C1" authorId="0" shapeId="0" xr:uid="{141BFD3F-D93C-4DC7-BDF6-9BC33EA17D36}">
      <text>
        <r>
          <rPr>
            <b/>
            <sz val="11"/>
            <color indexed="81"/>
            <rFont val="Tahoma"/>
            <family val="2"/>
          </rPr>
          <t>ini sudah berisi rumus pencarian tgl lahir dari NIK, kalo tidak yakin dengan ini, isi aja sendiri dan 
pastikan formatnya mm-dd-yyyy</t>
        </r>
      </text>
    </comment>
    <comment ref="D1" authorId="0" shapeId="0" xr:uid="{A3AF9E45-18A4-4DB0-AE86-2FAEFE77B5B0}">
      <text>
        <r>
          <rPr>
            <b/>
            <sz val="11"/>
            <color indexed="81"/>
            <rFont val="Tahoma"/>
            <family val="2"/>
          </rPr>
          <t>ini sudah automatis, jika kurang yakin, yakinlah wkwkwkw</t>
        </r>
      </text>
    </comment>
    <comment ref="E1" authorId="0" shapeId="0" xr:uid="{69122EEA-BEDD-408D-8F87-A3B6427D31DE}">
      <text>
        <r>
          <rPr>
            <b/>
            <sz val="11"/>
            <color indexed="81"/>
            <rFont val="Tahoma"/>
            <family val="2"/>
          </rPr>
          <t>jangan ada +62 atau 0, misal 0895555 &gt;&gt; hapus 0 nya</t>
        </r>
      </text>
    </comment>
    <comment ref="I1" authorId="0" shapeId="0" xr:uid="{1A950CB6-AF29-4D62-8D15-807950A0E631}">
      <text>
        <r>
          <rPr>
            <b/>
            <sz val="11"/>
            <color indexed="81"/>
            <rFont val="Tahoma"/>
            <family val="2"/>
          </rPr>
          <t>isi sesuai nama sekkolah harus sama dengan di apk ckg</t>
        </r>
      </text>
    </comment>
    <comment ref="J1" authorId="0" shapeId="0" xr:uid="{A88E73F3-B90D-4D69-B32A-A560E292903F}">
      <text>
        <r>
          <rPr>
            <b/>
            <sz val="11"/>
            <color indexed="81"/>
            <rFont val="Tahoma"/>
            <family val="2"/>
          </rPr>
          <t>copas atau isi dengan angka kelasnya sajja</t>
        </r>
      </text>
    </comment>
    <comment ref="L1" authorId="0" shapeId="0" xr:uid="{1AB2D2D4-6C0F-43BB-9B67-BD0A5CE3A769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M1" authorId="0" shapeId="0" xr:uid="{5BDAFB53-59E1-4674-B378-34ED38AC062A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</text>
    </comment>
    <comment ref="N1" authorId="0" shapeId="0" xr:uid="{CE41EE18-E256-4E92-B2B8-A4EA0350AC31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</text>
    </comment>
    <comment ref="O1" authorId="0" shapeId="0" xr:uid="{2429B205-2237-40BB-BBE9-B2E888F6B61C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</text>
    </comment>
    <comment ref="P1" authorId="0" shapeId="0" xr:uid="{0FF60822-D7CF-4D34-BB7F-E278BA30823A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</text>
    </comment>
    <comment ref="Q1" authorId="0" shapeId="0" xr:uid="{9DA5EC6A-EB27-4D94-95D2-F6177942CA95}">
      <text>
        <r>
          <rPr>
            <b/>
            <sz val="11"/>
            <color indexed="81"/>
            <rFont val="Tahoma"/>
            <family val="2"/>
          </rPr>
          <t>bisa ditulis NORMAL atau ANGKA YANG NYATA</t>
        </r>
      </text>
    </comment>
    <comment ref="R1" authorId="0" shapeId="0" xr:uid="{97D3A1A5-C211-408C-AD24-49564669D816}">
      <text>
        <r>
          <rPr>
            <b/>
            <sz val="11"/>
            <color indexed="81"/>
            <rFont val="Tahoma"/>
            <family val="2"/>
          </rPr>
          <t>hanya bisa ditulis (TIDAK ADA,1,2 atau 3)</t>
        </r>
      </text>
    </comment>
    <comment ref="W1" authorId="0" shapeId="0" xr:uid="{034DA75A-95E0-4DD0-A2BB-A100C60D73FB}">
      <text>
        <r>
          <rPr>
            <b/>
            <sz val="11"/>
            <color indexed="81"/>
            <rFont val="Tahoma"/>
            <family val="2"/>
          </rPr>
          <t>range 1-7</t>
        </r>
      </text>
    </comment>
    <comment ref="X1" authorId="0" shapeId="0" xr:uid="{DCC4A618-8A36-4D6A-9558-4F17E80D3F0D}">
      <text>
        <r>
          <rPr>
            <b/>
            <sz val="11"/>
            <color indexed="81"/>
            <rFont val="Tahoma"/>
            <family val="2"/>
          </rPr>
          <t>range 1-7</t>
        </r>
      </text>
    </comment>
    <comment ref="Y1" authorId="0" shapeId="0" xr:uid="{14691BE5-0345-4D9A-93BD-9CDFDE39AD6F}">
      <text>
        <r>
          <rPr>
            <b/>
            <sz val="11"/>
            <color indexed="81"/>
            <rFont val="Tahoma"/>
            <family val="2"/>
          </rPr>
          <t>kosongi aja, nanti otomatis ke isi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Z1" authorId="0" shapeId="0" xr:uid="{CC13128A-54A7-4EFA-8F47-9C1B3024138A}">
      <text>
        <r>
          <rPr>
            <b/>
            <sz val="11"/>
            <color indexed="81"/>
            <rFont val="Tahoma"/>
            <family val="2"/>
          </rPr>
          <t>BAIK atau KURANG BAIK</t>
        </r>
      </text>
    </comment>
    <comment ref="AA1" authorId="0" shapeId="0" xr:uid="{601C988E-A81B-4316-9717-034980C40546}">
      <text>
        <r>
          <rPr>
            <b/>
            <sz val="11"/>
            <color indexed="81"/>
            <rFont val="Tahoma"/>
            <family val="2"/>
          </rPr>
          <t>NORMAL</t>
        </r>
      </text>
    </comment>
    <comment ref="AB1" authorId="0" shapeId="0" xr:uid="{8C7F6F17-4694-4DFA-A83C-77B3F0D08B1A}">
      <text>
        <r>
          <rPr>
            <b/>
            <sz val="11"/>
            <color indexed="81"/>
            <rFont val="Tahoma"/>
            <family val="2"/>
          </rPr>
          <t>IYA atau TIDAK</t>
        </r>
      </text>
    </comment>
    <comment ref="AC1" authorId="0" shapeId="0" xr:uid="{BDDBAE14-AB7E-48B2-AE84-5BC05E745863}">
      <text>
        <r>
          <rPr>
            <b/>
            <sz val="11"/>
            <color indexed="81"/>
            <rFont val="Tahoma"/>
            <family val="2"/>
          </rPr>
          <t>BAIK atau SANGAT BAIK</t>
        </r>
      </text>
    </comment>
    <comment ref="AD1" authorId="0" shapeId="0" xr:uid="{AEFD6890-D3E8-4BB6-B92A-D4D095716A60}">
      <text>
        <r>
          <rPr>
            <b/>
            <sz val="11"/>
            <color indexed="81"/>
            <rFont val="Tahoma"/>
            <family val="2"/>
          </rPr>
          <t>kosongi aja, nanti otomatis ke isi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<sst xmlns="http://schemas.openxmlformats.org/spreadsheetml/2006/main" count="71" uniqueCount="58">
  <si>
    <t>NIK</t>
  </si>
  <si>
    <t>Nama Lengkap</t>
  </si>
  <si>
    <t>Tanggal lahir</t>
  </si>
  <si>
    <t>Jenis Kelamin</t>
  </si>
  <si>
    <t>No Whatsapp</t>
  </si>
  <si>
    <t>Detail Domisili</t>
  </si>
  <si>
    <t>Berat Badan</t>
  </si>
  <si>
    <t>Tinggi Badan</t>
  </si>
  <si>
    <t>Sistol</t>
  </si>
  <si>
    <t>Diastol</t>
  </si>
  <si>
    <t>Gula Darah</t>
  </si>
  <si>
    <t>Keterangan</t>
  </si>
  <si>
    <t>Tidak memiliki disabilitas</t>
  </si>
  <si>
    <t>Normal</t>
  </si>
  <si>
    <t>normal</t>
  </si>
  <si>
    <t>jumlahCoba</t>
  </si>
  <si>
    <t>Status</t>
  </si>
  <si>
    <t>notif</t>
  </si>
  <si>
    <t>TIDAK</t>
  </si>
  <si>
    <t>Kesehatan Jiwa</t>
  </si>
  <si>
    <t>BAIK</t>
  </si>
  <si>
    <t>Penapisan Risiko Kanker Paru</t>
  </si>
  <si>
    <t>NORMAL</t>
  </si>
  <si>
    <t>Perilaku Merokok</t>
  </si>
  <si>
    <t>Tingkat Aktivitas Fisik (sedang dan berat)</t>
  </si>
  <si>
    <t>status pernikahan</t>
  </si>
  <si>
    <t>penyandang disabilitas</t>
  </si>
  <si>
    <t>pekerjaan</t>
  </si>
  <si>
    <t>Nama Sekolah</t>
  </si>
  <si>
    <t>Kelas / Jenjang</t>
  </si>
  <si>
    <t>Hemoglobin</t>
  </si>
  <si>
    <t>Gigi</t>
  </si>
  <si>
    <t>telinga dan mata</t>
  </si>
  <si>
    <t>kebugaran</t>
  </si>
  <si>
    <t>kadar co</t>
  </si>
  <si>
    <t>Riwayat Imunisasi Rutin Anak Sekolah</t>
  </si>
  <si>
    <t>Diisi jumlah hari aktif  secara  fisik</t>
  </si>
  <si>
    <t>Diisi jumlah hari aktif aktivitas fisik</t>
  </si>
  <si>
    <t>INI ADLAH BARIS CONTOH</t>
  </si>
  <si>
    <t>Belum Menikah</t>
  </si>
  <si>
    <t>Pelajar</t>
  </si>
  <si>
    <t>SDN KOTALAMA 1</t>
  </si>
  <si>
    <t>Jl. Laksamana Martadinata VI B/20</t>
  </si>
  <si>
    <t>31</t>
  </si>
  <si>
    <t>146</t>
  </si>
  <si>
    <t>90</t>
  </si>
  <si>
    <t>50</t>
  </si>
  <si>
    <t>tidak ada</t>
  </si>
  <si>
    <t>baik</t>
  </si>
  <si>
    <t>iya lengkap</t>
  </si>
  <si>
    <t>HAPUS AJA JIKA SUDAH MENGISI</t>
  </si>
  <si>
    <t>Jl. Laks Martadinata III</t>
  </si>
  <si>
    <t>27</t>
  </si>
  <si>
    <t>127</t>
  </si>
  <si>
    <t>80</t>
  </si>
  <si>
    <t>60</t>
  </si>
  <si>
    <t>65656565655</t>
  </si>
  <si>
    <t>56565656565656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</si>
</sst>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0" fillId="0" borderId="0" xfId="0" applyNumberFormat="1"/>
    <xf numFmtId="49" fontId="5" fillId="0" borderId="0" xfId="0" applyNumberFormat="1" applyFont="1" applyAlignment="1">
      <alignment vertical="center"/>
    </xf>
    <xf numFmtId="49" fontId="0" fillId="2" borderId="0" xfId="0" applyNumberFormat="1" applyFill="1"/>
    <xf numFmtId="49" fontId="0" fillId="2" borderId="0" xfId="0" quotePrefix="1" applyNumberFormat="1" applyFill="1"/>
    <xf numFmtId="49" fontId="1" fillId="2" borderId="0" xfId="0" applyNumberFormat="1" applyFont="1" applyFill="1" applyAlignment="1">
      <alignment vertical="center"/>
    </xf>
  </cellXfs>
  <cellStyles count="2">
    <cellStyle name="Normal" xfId="0" builtinId="0"/>
    <cellStyle name="Normal 2" xfId="1" xr:uid="{9DA19D90-B6DB-4AE4-9227-D8C079777F3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abSelected="1" zoomScale="85" zoomScaleNormal="85" workbookViewId="0">
      <selection activeCell="E7" sqref="E7"/>
    </sheetView>
  </sheetViews>
  <sheetFormatPr defaultRowHeight="15.75" x14ac:dyDescent="0.25"/>
  <cols>
    <col min="1" max="1" width="17.125" style="1" bestFit="1" customWidth="1"/>
    <col min="2" max="2" width="23.375" style="1" bestFit="1" customWidth="1"/>
    <col min="3" max="3" width="11.5" style="1" bestFit="1" customWidth="1"/>
    <col min="4" max="4" width="11.875" style="1" bestFit="1" customWidth="1"/>
    <col min="5" max="5" width="13" style="1" bestFit="1" customWidth="1"/>
    <col min="6" max="6" width="15.5" style="1" bestFit="1" customWidth="1"/>
    <col min="7" max="7" width="21.875" style="1" bestFit="1" customWidth="1"/>
    <col min="8" max="8" width="21.875" style="1" customWidth="1"/>
    <col min="9" max="9" width="5.625" style="1" bestFit="1" customWidth="1"/>
    <col min="10" max="10" width="8.875" style="1" bestFit="1" customWidth="1"/>
    <col min="11" max="11" width="80.625" style="1" bestFit="1" customWidth="1"/>
    <col min="12" max="13" width="15.875" style="1" customWidth="1"/>
    <col min="14" max="14" width="11.875" style="1" customWidth="1"/>
    <col min="15" max="15" width="15.875" style="1" customWidth="1"/>
    <col min="16" max="16" width="10.875" style="1" bestFit="1" customWidth="1"/>
    <col min="17" max="17" width="11.5" style="1" bestFit="1" customWidth="1"/>
    <col min="18" max="18" width="11.5" style="1" customWidth="1"/>
    <col min="19" max="19" width="6.5" style="1" bestFit="1" customWidth="1"/>
    <col min="20" max="20" width="6.625" style="1" bestFit="1" customWidth="1"/>
    <col min="21" max="21" width="10" style="1" bestFit="1" customWidth="1"/>
    <col min="22" max="22" width="26.375" style="1" bestFit="1" customWidth="1"/>
    <col min="23" max="23" width="35.625" style="1" bestFit="1" customWidth="1"/>
    <col min="24" max="24" width="14.75" style="1" bestFit="1" customWidth="1"/>
    <col min="25" max="25" width="19.125" style="1" bestFit="1" customWidth="1"/>
    <col min="26" max="26" width="15" style="1" bestFit="1" customWidth="1"/>
    <col min="27" max="27" width="32.25" style="1" bestFit="1" customWidth="1"/>
    <col min="28" max="28" width="29.625" style="1" bestFit="1" customWidth="1"/>
    <col min="29" max="29" width="43.875" style="1" bestFit="1" customWidth="1"/>
    <col min="30" max="30" width="20.625" style="1" bestFit="1" customWidth="1"/>
    <col min="31" max="16384" width="9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11</v>
      </c>
      <c r="Z1" s="2" t="s">
        <v>19</v>
      </c>
      <c r="AA1" s="2" t="s">
        <v>21</v>
      </c>
      <c r="AB1" s="2" t="s">
        <v>23</v>
      </c>
      <c r="AC1" s="2" t="s">
        <v>24</v>
      </c>
      <c r="AD1" s="1" t="s">
        <v>11</v>
      </c>
      <c r="AE1" s="1" t="s">
        <v>15</v>
      </c>
      <c r="AF1" s="1" t="s">
        <v>16</v>
      </c>
      <c r="AG1" s="1" t="s">
        <v>17</v>
      </c>
    </row>
    <row r="2" spans="1:33" x14ac:dyDescent="0.25">
      <c r="A2" s="4" t="s">
        <v>56</v>
      </c>
      <c r="B2" s="3" t="s">
        <v>38</v>
      </c>
      <c r="C2" s="3" t="str">
        <f t="shared" ref="C2:C3" ca="1" si="0">TEXT(DATE(IF(VALUE(MID(A2,11,2))&lt;=VALUE(RIGHT(YEAR(TODAY()), 2)), 2000+VALUE(MID(A2,11,2)), 1900+VALUE(MID(A2,11,2))), VALUE(MID(A2,9,2)), IF(VALUE(MID(A2,7,2))&gt;40, VALUE(MID(A2,7,2))-40, VALUE(MID(A2,7,2)))), "dd-mm-yyyy")</f>
        <v>25-05-2010</v>
      </c>
      <c r="D2" s="5" t="str">
        <f>IF(A2&lt;&gt;"",IF(VALUE(MID(A2,7,2))&gt;40,"Perempuan","Laki-laki"),"")</f>
        <v>Perempuan</v>
      </c>
      <c r="E2" s="3">
        <v>85230186668</v>
      </c>
      <c r="F2" s="3" t="s">
        <v>39</v>
      </c>
      <c r="G2" s="3" t="s">
        <v>12</v>
      </c>
      <c r="H2" s="3" t="s">
        <v>40</v>
      </c>
      <c r="I2" s="3" t="s">
        <v>41</v>
      </c>
      <c r="J2" s="3">
        <v>5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>
        <v>90</v>
      </c>
      <c r="Q2" s="3">
        <v>13</v>
      </c>
      <c r="R2" s="3" t="s">
        <v>47</v>
      </c>
      <c r="S2" s="3" t="s">
        <v>13</v>
      </c>
      <c r="T2" s="3" t="s">
        <v>48</v>
      </c>
      <c r="U2" s="3" t="s">
        <v>14</v>
      </c>
      <c r="V2" s="3" t="s">
        <v>49</v>
      </c>
      <c r="W2" s="3">
        <v>4</v>
      </c>
      <c r="X2" s="3">
        <v>4</v>
      </c>
      <c r="Z2" s="1" t="s">
        <v>20</v>
      </c>
      <c r="AA2" s="1" t="s">
        <v>22</v>
      </c>
      <c r="AB2" s="1" t="s">
        <v>18</v>
      </c>
      <c r="AC2" s="1" t="s">
        <v>20</v>
      </c>
    </row>
    <row r="3" spans="1:33" x14ac:dyDescent="0.25">
      <c r="A3" s="4" t="s">
        <v>57</v>
      </c>
      <c r="B3" s="3" t="s">
        <v>50</v>
      </c>
      <c r="C3" s="3" t="str">
        <f t="shared" ca="1" si="0"/>
        <v>16-08-1960</v>
      </c>
      <c r="D3" s="5" t="str">
        <f t="shared" ref="D3" si="1">IF(A3&lt;&gt;"",IF(VALUE(MID(A3,7,2))&gt;40,"Perempuan","Laki-laki"),"")</f>
        <v>Perempuan</v>
      </c>
      <c r="E3" s="3">
        <v>85230186668</v>
      </c>
      <c r="F3" s="3" t="s">
        <v>39</v>
      </c>
      <c r="G3" s="3" t="s">
        <v>12</v>
      </c>
      <c r="H3" s="3" t="s">
        <v>40</v>
      </c>
      <c r="I3" s="3" t="s">
        <v>41</v>
      </c>
      <c r="J3" s="3">
        <v>5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14</v>
      </c>
      <c r="Q3" s="3" t="s">
        <v>14</v>
      </c>
      <c r="R3" s="3" t="s">
        <v>47</v>
      </c>
      <c r="S3" s="3" t="s">
        <v>13</v>
      </c>
      <c r="T3" s="3" t="s">
        <v>48</v>
      </c>
      <c r="U3" s="3" t="s">
        <v>14</v>
      </c>
      <c r="V3" s="3" t="s">
        <v>49</v>
      </c>
      <c r="W3" s="3">
        <v>4</v>
      </c>
      <c r="X3" s="3">
        <v>4</v>
      </c>
    </row>
  </sheetData>
  <phoneticPr fontId="6" type="noConversion"/>
  <pageMargins left="0.7" right="0.7" top="0.75" bottom="0.75" header="0.3" footer="0.3"/>
  <pageSetup paperSize="256" orientation="portrait" horizontalDpi="203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</dc:creator>
  <cp:lastModifiedBy>mas lihan</cp:lastModifiedBy>
  <dcterms:created xsi:type="dcterms:W3CDTF">2026-07-18T12:55:31Z</dcterms:created>
  <dcterms:modified xsi:type="dcterms:W3CDTF">2026-08-23T10:03:21Z</dcterms:modified>
</cp:coreProperties>
</file>